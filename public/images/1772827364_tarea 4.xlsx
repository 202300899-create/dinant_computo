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427"/>
  <workbookPr defaultThemeVersion="166925"/>
  <mc:AlternateContent xmlns:mc="http://schemas.openxmlformats.org/markup-compatibility/2006">
    <mc:Choice Requires="x15">
      <x15ac:absPath xmlns:x15ac="http://schemas.microsoft.com/office/spreadsheetml/2010/11/ac" url="C:\Users\USER\Documents\LUIS DAVID\VIII\CONTABILIDAD PARA LA GESTION DE NEGOCIOS\"/>
    </mc:Choice>
  </mc:AlternateContent>
  <xr:revisionPtr revIDLastSave="0" documentId="13_ncr:1_{B78C7762-6B84-4460-A8AE-BD9547A43D9A}" xr6:coauthVersionLast="47" xr6:coauthVersionMax="47" xr10:uidLastSave="{00000000-0000-0000-0000-000000000000}"/>
  <bookViews>
    <workbookView xWindow="-108" yWindow="-108" windowWidth="16608" windowHeight="8712" xr2:uid="{35BF50EC-4942-456A-8BE1-AE99421C0EA7}"/>
  </bookViews>
  <sheets>
    <sheet name="P4-9" sheetId="1" r:id="rId1"/>
    <sheet name="P4-11"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H38" i="2" l="1"/>
  <c r="D39" i="2"/>
  <c r="F39" i="2"/>
  <c r="E40" i="2"/>
  <c r="E39" i="2"/>
  <c r="C37" i="2"/>
  <c r="C38" i="2"/>
  <c r="C30" i="2"/>
  <c r="D11" i="2"/>
  <c r="C12" i="2"/>
  <c r="C11" i="2"/>
  <c r="C18" i="2"/>
  <c r="C13" i="2"/>
  <c r="E11" i="2"/>
  <c r="E14" i="2" s="1"/>
  <c r="F11" i="2"/>
  <c r="G11" i="2"/>
  <c r="H11" i="2"/>
  <c r="D12" i="2"/>
  <c r="E12" i="2"/>
  <c r="F12" i="2"/>
  <c r="G12" i="2"/>
  <c r="H12" i="2"/>
  <c r="D13" i="2"/>
  <c r="E13" i="2"/>
  <c r="E24" i="2" s="1"/>
  <c r="E26" i="2" s="1"/>
  <c r="E23" i="2" s="1"/>
  <c r="E27" i="2" s="1"/>
  <c r="F13" i="2"/>
  <c r="F24" i="2" s="1"/>
  <c r="F26" i="2" s="1"/>
  <c r="F23" i="2" s="1"/>
  <c r="F27" i="2" s="1"/>
  <c r="G13" i="2"/>
  <c r="G24" i="2" s="1"/>
  <c r="G26" i="2" s="1"/>
  <c r="G23" i="2" s="1"/>
  <c r="G27" i="2" s="1"/>
  <c r="H13" i="2"/>
  <c r="H24" i="2" s="1"/>
  <c r="H26" i="2" s="1"/>
  <c r="H23" i="2" s="1"/>
  <c r="H27" i="2" s="1"/>
  <c r="C17" i="2"/>
  <c r="D17" i="2"/>
  <c r="D20" i="2" s="1"/>
  <c r="E17" i="2"/>
  <c r="E20" i="2" s="1"/>
  <c r="F17" i="2"/>
  <c r="G17" i="2"/>
  <c r="G20" i="2" s="1"/>
  <c r="H17" i="2"/>
  <c r="D18" i="2"/>
  <c r="E18" i="2"/>
  <c r="F18" i="2"/>
  <c r="G18" i="2"/>
  <c r="H18" i="2"/>
  <c r="C19" i="2"/>
  <c r="C29" i="2" s="1"/>
  <c r="D19" i="2"/>
  <c r="D29" i="2" s="1"/>
  <c r="E19" i="2"/>
  <c r="E29" i="2" s="1"/>
  <c r="F19" i="2"/>
  <c r="F29" i="2" s="1"/>
  <c r="G19" i="2"/>
  <c r="G29" i="2" s="1"/>
  <c r="G37" i="2" s="1"/>
  <c r="H19" i="2"/>
  <c r="H29" i="2" s="1"/>
  <c r="C24" i="2"/>
  <c r="D24" i="2"/>
  <c r="D26" i="2" s="1"/>
  <c r="D30" i="2"/>
  <c r="E30" i="2"/>
  <c r="F30" i="2"/>
  <c r="G30" i="2"/>
  <c r="H30" i="2"/>
  <c r="C33" i="1"/>
  <c r="D33" i="1"/>
  <c r="D30" i="1"/>
  <c r="D28" i="1"/>
  <c r="D18" i="1"/>
  <c r="D11" i="1"/>
  <c r="B33" i="1"/>
  <c r="B18" i="1"/>
  <c r="C18" i="1"/>
  <c r="C11" i="1"/>
  <c r="C28" i="1"/>
  <c r="B28" i="1"/>
  <c r="C23" i="1"/>
  <c r="B23" i="1"/>
  <c r="B11" i="1"/>
  <c r="D16" i="1"/>
  <c r="C16" i="1"/>
  <c r="B16" i="1"/>
  <c r="H37" i="2" l="1"/>
  <c r="C20" i="2"/>
  <c r="D14" i="2"/>
  <c r="C14" i="2"/>
  <c r="E37" i="2"/>
  <c r="E38" i="2" s="1"/>
  <c r="H20" i="2"/>
  <c r="H14" i="2"/>
  <c r="G14" i="2"/>
  <c r="F20" i="2"/>
  <c r="G38" i="2"/>
  <c r="F14" i="2"/>
  <c r="D37" i="2"/>
  <c r="F37" i="2"/>
  <c r="F38" i="2" s="1"/>
  <c r="F40" i="2" s="1"/>
  <c r="D23" i="2"/>
  <c r="D27" i="2" s="1"/>
  <c r="C26" i="2"/>
  <c r="C27" i="2" s="1"/>
  <c r="D38" i="2" l="1"/>
  <c r="D40" i="2" s="1"/>
  <c r="G39" i="2"/>
  <c r="G40" i="2" s="1"/>
  <c r="H39" i="2"/>
  <c r="H40" i="2" s="1"/>
  <c r="C39" i="2"/>
  <c r="C40" i="2" s="1"/>
</calcChain>
</file>

<file path=xl/sharedStrings.xml><?xml version="1.0" encoding="utf-8"?>
<sst xmlns="http://schemas.openxmlformats.org/spreadsheetml/2006/main" count="69" uniqueCount="68">
  <si>
    <t>Grenoble Enterprise</t>
  </si>
  <si>
    <t>Pronóstico de Ventas</t>
  </si>
  <si>
    <t>Correspondientes a los meses de mayo, junio y julio 2026</t>
  </si>
  <si>
    <t xml:space="preserve">Detalles </t>
  </si>
  <si>
    <t>Mayo</t>
  </si>
  <si>
    <t>Junio</t>
  </si>
  <si>
    <t>Julio</t>
  </si>
  <si>
    <t>Saldo Inicial Caja</t>
  </si>
  <si>
    <t>Saldo minimo requerido</t>
  </si>
  <si>
    <t>Disponibilidad</t>
  </si>
  <si>
    <t>Ingresos</t>
  </si>
  <si>
    <t>Ingresos por cobro de ventas</t>
  </si>
  <si>
    <t xml:space="preserve">Ingresos por otras operaciones </t>
  </si>
  <si>
    <t>Total</t>
  </si>
  <si>
    <t xml:space="preserve">Saldo disponible para ejercion de pagos </t>
  </si>
  <si>
    <t>Egresos</t>
  </si>
  <si>
    <t>Pagos a proveedores por las compras</t>
  </si>
  <si>
    <t>Pago de alquiler mensual</t>
  </si>
  <si>
    <t>Pago de sueldos y salarios</t>
  </si>
  <si>
    <t xml:space="preserve">Pago de dividendos </t>
  </si>
  <si>
    <t>Pago de capital e Interes</t>
  </si>
  <si>
    <t>Compra de equipo</t>
  </si>
  <si>
    <t>Pago de impuestos</t>
  </si>
  <si>
    <t xml:space="preserve">Total egresos en efectivo </t>
  </si>
  <si>
    <t>Exedente de efectivo despues de cubrir los gastos</t>
  </si>
  <si>
    <t>Solicitud de prestamo</t>
  </si>
  <si>
    <t>Saldo final de efectivo en caja</t>
  </si>
  <si>
    <t xml:space="preserve"> </t>
  </si>
  <si>
    <t xml:space="preserve">Pronóstico de ventas </t>
  </si>
  <si>
    <t>Correspondiente a los meses de Noviembre 2015 a Abril 2016</t>
  </si>
  <si>
    <t xml:space="preserve"> Detalle</t>
  </si>
  <si>
    <t>Noviembre</t>
  </si>
  <si>
    <t>Diciembre</t>
  </si>
  <si>
    <t>Enero</t>
  </si>
  <si>
    <t>Febrero</t>
  </si>
  <si>
    <t>Marzo</t>
  </si>
  <si>
    <t>Abril</t>
  </si>
  <si>
    <t xml:space="preserve">                     Xenocre Inc</t>
  </si>
  <si>
    <t>Saldo inicial</t>
  </si>
  <si>
    <t>Cobros ventas</t>
  </si>
  <si>
    <t>Otros ingresos</t>
  </si>
  <si>
    <t>Total ingresos</t>
  </si>
  <si>
    <t>Pagos compras</t>
  </si>
  <si>
    <t>Sueldos</t>
  </si>
  <si>
    <t>Alquiler</t>
  </si>
  <si>
    <t>Dividendos</t>
  </si>
  <si>
    <t>Intereses</t>
  </si>
  <si>
    <t>Capital</t>
  </si>
  <si>
    <t>Impuestos</t>
  </si>
  <si>
    <t>Activo fijo</t>
  </si>
  <si>
    <t>Total egresos</t>
  </si>
  <si>
    <t>Financiamiento</t>
  </si>
  <si>
    <t>Saldo final</t>
  </si>
  <si>
    <t>Excedente</t>
  </si>
  <si>
    <t>PRESUPUESTO CAJA</t>
  </si>
  <si>
    <t>TOTAL PAGOS</t>
  </si>
  <si>
    <t>40% dos meses</t>
  </si>
  <si>
    <t>50% mes anterior</t>
  </si>
  <si>
    <t>10% contado</t>
  </si>
  <si>
    <t>PAGOS COMPRAS</t>
  </si>
  <si>
    <t>TOTAL COBROS</t>
  </si>
  <si>
    <t>40% mes anterior</t>
  </si>
  <si>
    <t>20% contado</t>
  </si>
  <si>
    <t>COBROS VENTAS</t>
  </si>
  <si>
    <t>COMPRAS</t>
  </si>
  <si>
    <t>VENTAS</t>
  </si>
  <si>
    <t>TOTAL DISPONIBLE</t>
  </si>
  <si>
    <t>Para cubrir las necesidades de efectivo durante el período de noviembre a abril, la empresa debe establecer una línea de crédito equivalente al mayor financiamiento requerido en un solo mes, ya que la línea debe ser suficiente para cubrir el punto máximo de déficit de liquidez y no la suma de todos los préstamos del período. Según los cálculos del presupuesto de caja, el mes más crítico es diciembre, debido principalmente a la compra de activos fijos por $250,000, lo que genera el mayor requerimiento de financiamiento, que asciende a $77,000. Por lo tanto, la empresa necesitaría una línea de crédito mínima de $77,000 para cubrir adecuadamente sus necesidades de efectivo durante todo el período analizado.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</si>
</sst>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5" formatCode="[$USD]\ #,##0.00"/>
    <numFmt numFmtId="166" formatCode="[$$-240A]\ #,##0.00"/>
    <numFmt numFmtId="167" formatCode="[$$-2C0A]\ #,##0.00"/>
    <numFmt numFmtId="169" formatCode="[$$-340A]#,##0.00"/>
  </numFmts>
  <fonts count="4" x14ac:knownFonts="1">
    <font>
      <sz val="11"/>
      <color theme="1"/>
      <name val="Calibri"/>
      <family val="2"/>
      <scheme val="minor"/>
    </font>
    <font>
      <b/>
      <sz val="11"/>
      <color theme="1"/>
      <name val="Calibri"/>
      <family val="2"/>
      <scheme val="minor"/>
    </font>
    <font>
      <b/>
      <u/>
      <sz val="11"/>
      <color theme="1"/>
      <name val="Calibri"/>
      <family val="2"/>
      <scheme val="minor"/>
    </font>
    <font>
      <b/>
      <sz val="12"/>
      <color theme="1"/>
      <name val="Calibri"/>
      <family val="2"/>
      <scheme val="minor"/>
    </font>
  </fonts>
  <fills count="6">
    <fill>
      <patternFill patternType="none"/>
    </fill>
    <fill>
      <patternFill patternType="gray125"/>
    </fill>
    <fill>
      <patternFill patternType="solid">
        <fgColor theme="4" tint="0.39997558519241921"/>
        <bgColor indexed="64"/>
      </patternFill>
    </fill>
    <fill>
      <patternFill patternType="solid">
        <fgColor theme="9" tint="0.39997558519241921"/>
        <bgColor indexed="64"/>
      </patternFill>
    </fill>
    <fill>
      <patternFill patternType="solid">
        <fgColor rgb="FF92D050"/>
        <bgColor indexed="64"/>
      </patternFill>
    </fill>
    <fill>
      <patternFill patternType="solid">
        <fgColor rgb="FFFF00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58">
    <xf numFmtId="0" fontId="0" fillId="0" borderId="0" xfId="0"/>
    <xf numFmtId="0" fontId="0" fillId="0" borderId="1" xfId="0" applyBorder="1" applyAlignment="1">
      <alignment horizontal="center"/>
    </xf>
    <xf numFmtId="0" fontId="0" fillId="0" borderId="1" xfId="0" applyBorder="1"/>
    <xf numFmtId="0" fontId="0" fillId="0" borderId="0" xfId="0" applyBorder="1" applyAlignment="1"/>
    <xf numFmtId="0" fontId="0" fillId="0" borderId="0" xfId="0" applyBorder="1"/>
    <xf numFmtId="0" fontId="1" fillId="0" borderId="1" xfId="0" applyFont="1" applyBorder="1" applyAlignment="1">
      <alignment horizontal="center"/>
    </xf>
    <xf numFmtId="165" fontId="0" fillId="0" borderId="1" xfId="0" applyNumberFormat="1" applyBorder="1"/>
    <xf numFmtId="166" fontId="0" fillId="0" borderId="1" xfId="0" applyNumberFormat="1" applyBorder="1"/>
    <xf numFmtId="166" fontId="0" fillId="0" borderId="0" xfId="0" applyNumberFormat="1"/>
    <xf numFmtId="166" fontId="0" fillId="0" borderId="1" xfId="0" applyNumberFormat="1" applyFill="1" applyBorder="1"/>
    <xf numFmtId="167" fontId="0" fillId="0" borderId="1" xfId="0" applyNumberFormat="1" applyBorder="1"/>
    <xf numFmtId="0" fontId="1" fillId="2" borderId="1" xfId="0" applyFont="1" applyFill="1" applyBorder="1"/>
    <xf numFmtId="166" fontId="1" fillId="2" borderId="1" xfId="0" applyNumberFormat="1" applyFont="1" applyFill="1" applyBorder="1"/>
    <xf numFmtId="165" fontId="1" fillId="2" borderId="1" xfId="0" applyNumberFormat="1" applyFont="1" applyFill="1" applyBorder="1"/>
    <xf numFmtId="167" fontId="1" fillId="2" borderId="1" xfId="0" applyNumberFormat="1" applyFont="1" applyFill="1" applyBorder="1"/>
    <xf numFmtId="0" fontId="1" fillId="3" borderId="1" xfId="0" applyFont="1" applyFill="1" applyBorder="1"/>
    <xf numFmtId="166" fontId="0" fillId="0" borderId="0" xfId="0" applyNumberFormat="1" applyBorder="1"/>
    <xf numFmtId="0" fontId="1" fillId="0" borderId="2" xfId="0" applyFont="1" applyBorder="1" applyAlignment="1">
      <alignment horizontal="center"/>
    </xf>
    <xf numFmtId="0" fontId="1" fillId="0" borderId="3" xfId="0" applyFont="1" applyBorder="1" applyAlignment="1">
      <alignment horizontal="center"/>
    </xf>
    <xf numFmtId="0" fontId="1" fillId="0" borderId="4" xfId="0" applyFont="1" applyBorder="1" applyAlignment="1">
      <alignment horizontal="center"/>
    </xf>
    <xf numFmtId="0" fontId="1" fillId="0" borderId="5" xfId="0" applyFont="1" applyBorder="1" applyAlignment="1">
      <alignment horizontal="center"/>
    </xf>
    <xf numFmtId="0" fontId="1" fillId="0" borderId="6" xfId="0" applyFont="1" applyBorder="1" applyAlignment="1">
      <alignment horizontal="center"/>
    </xf>
    <xf numFmtId="0" fontId="1" fillId="3" borderId="5" xfId="0" applyFont="1" applyFill="1" applyBorder="1"/>
    <xf numFmtId="0" fontId="1" fillId="3" borderId="6" xfId="0" applyFont="1" applyFill="1" applyBorder="1"/>
    <xf numFmtId="0" fontId="0" fillId="0" borderId="5" xfId="0" applyBorder="1"/>
    <xf numFmtId="167" fontId="0" fillId="0" borderId="6" xfId="0" applyNumberFormat="1" applyBorder="1"/>
    <xf numFmtId="0" fontId="1" fillId="2" borderId="5" xfId="0" applyFont="1" applyFill="1" applyBorder="1"/>
    <xf numFmtId="167" fontId="1" fillId="2" borderId="6" xfId="0" applyNumberFormat="1" applyFont="1" applyFill="1" applyBorder="1"/>
    <xf numFmtId="166" fontId="0" fillId="0" borderId="6" xfId="0" applyNumberFormat="1" applyBorder="1"/>
    <xf numFmtId="0" fontId="0" fillId="2" borderId="5" xfId="0" applyFill="1" applyBorder="1"/>
    <xf numFmtId="166" fontId="1" fillId="2" borderId="6" xfId="0" applyNumberFormat="1" applyFont="1" applyFill="1" applyBorder="1"/>
    <xf numFmtId="0" fontId="0" fillId="0" borderId="5" xfId="0" applyFill="1" applyBorder="1"/>
    <xf numFmtId="0" fontId="0" fillId="0" borderId="6" xfId="0" applyBorder="1"/>
    <xf numFmtId="166" fontId="0" fillId="0" borderId="6" xfId="0" applyNumberFormat="1" applyFill="1" applyBorder="1"/>
    <xf numFmtId="0" fontId="0" fillId="2" borderId="7" xfId="0" applyFill="1" applyBorder="1"/>
    <xf numFmtId="166" fontId="0" fillId="2" borderId="8" xfId="0" applyNumberFormat="1" applyFill="1" applyBorder="1"/>
    <xf numFmtId="166" fontId="0" fillId="2" borderId="9" xfId="0" applyNumberFormat="1" applyFill="1" applyBorder="1"/>
    <xf numFmtId="169" fontId="0" fillId="0" borderId="1" xfId="0" applyNumberFormat="1" applyBorder="1"/>
    <xf numFmtId="169" fontId="1" fillId="4" borderId="1" xfId="0" applyNumberFormat="1" applyFont="1" applyFill="1" applyBorder="1"/>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1" fillId="2" borderId="6" xfId="0" applyFont="1" applyFill="1" applyBorder="1"/>
    <xf numFmtId="169" fontId="0" fillId="0" borderId="6" xfId="0" applyNumberFormat="1" applyBorder="1"/>
    <xf numFmtId="0" fontId="2" fillId="0" borderId="5" xfId="0" applyFont="1" applyBorder="1"/>
    <xf numFmtId="0" fontId="1" fillId="4" borderId="5" xfId="0" applyFont="1" applyFill="1" applyBorder="1"/>
    <xf numFmtId="169" fontId="1" fillId="4" borderId="6" xfId="0" applyNumberFormat="1" applyFont="1" applyFill="1" applyBorder="1"/>
    <xf numFmtId="0" fontId="1" fillId="4" borderId="7" xfId="0" applyFont="1" applyFill="1" applyBorder="1"/>
    <xf numFmtId="169" fontId="1" fillId="4" borderId="8" xfId="0" applyNumberFormat="1" applyFont="1" applyFill="1" applyBorder="1"/>
    <xf numFmtId="169" fontId="1" fillId="4" borderId="9" xfId="0" applyNumberFormat="1" applyFont="1" applyFill="1" applyBorder="1"/>
    <xf numFmtId="169" fontId="0" fillId="2" borderId="1" xfId="0" applyNumberFormat="1" applyFill="1" applyBorder="1"/>
    <xf numFmtId="169" fontId="0" fillId="2" borderId="6" xfId="0" applyNumberFormat="1" applyFill="1" applyBorder="1"/>
    <xf numFmtId="0" fontId="1" fillId="5" borderId="5" xfId="0" applyFont="1" applyFill="1" applyBorder="1"/>
    <xf numFmtId="169" fontId="1" fillId="5" borderId="1" xfId="0" applyNumberFormat="1" applyFont="1" applyFill="1" applyBorder="1"/>
    <xf numFmtId="169" fontId="1" fillId="5" borderId="6" xfId="0" applyNumberFormat="1" applyFont="1" applyFill="1" applyBorder="1"/>
    <xf numFmtId="0" fontId="3"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D3F71-D6CE-4B5B-B932-E15CA47C6220}">
  <dimension ref="A3:E43"/>
  <sheetViews>
    <sheetView tabSelected="1" zoomScale="145" zoomScaleNormal="145" workbookViewId="0">
      <selection activeCell="E32" sqref="E32"/>
    </sheetView>
  </sheetViews>
  <sheetFormatPr baseColWidth="10" defaultRowHeight="14.4" x14ac:dyDescent="0.3"/>
  <cols>
    <col min="1" max="1" width="41.21875" customWidth="1"/>
    <col min="2" max="2" width="14.33203125" bestFit="1" customWidth="1"/>
    <col min="3" max="3" width="13.21875" customWidth="1"/>
    <col min="4" max="4" width="13.21875" bestFit="1" customWidth="1"/>
  </cols>
  <sheetData>
    <row r="3" spans="1:5" ht="15" thickBot="1" x14ac:dyDescent="0.35"/>
    <row r="4" spans="1:5" x14ac:dyDescent="0.3">
      <c r="A4" s="17" t="s">
        <v>0</v>
      </c>
      <c r="B4" s="18"/>
      <c r="C4" s="18"/>
      <c r="D4" s="19"/>
      <c r="E4" s="3"/>
    </row>
    <row r="5" spans="1:5" x14ac:dyDescent="0.3">
      <c r="A5" s="20" t="s">
        <v>1</v>
      </c>
      <c r="B5" s="5"/>
      <c r="C5" s="5"/>
      <c r="D5" s="21"/>
      <c r="E5" s="3"/>
    </row>
    <row r="6" spans="1:5" x14ac:dyDescent="0.3">
      <c r="A6" s="20" t="s">
        <v>2</v>
      </c>
      <c r="B6" s="5"/>
      <c r="C6" s="5"/>
      <c r="D6" s="21"/>
      <c r="E6" s="3"/>
    </row>
    <row r="7" spans="1:5" x14ac:dyDescent="0.3">
      <c r="A7" s="22" t="s">
        <v>3</v>
      </c>
      <c r="B7" s="15" t="s">
        <v>4</v>
      </c>
      <c r="C7" s="15" t="s">
        <v>5</v>
      </c>
      <c r="D7" s="23" t="s">
        <v>6</v>
      </c>
      <c r="E7" s="4"/>
    </row>
    <row r="8" spans="1:5" x14ac:dyDescent="0.3">
      <c r="A8" s="24"/>
      <c r="B8" s="6"/>
      <c r="C8" s="10"/>
      <c r="D8" s="25"/>
      <c r="E8" s="4"/>
    </row>
    <row r="9" spans="1:5" x14ac:dyDescent="0.3">
      <c r="A9" s="24" t="s">
        <v>7</v>
      </c>
      <c r="B9" s="6">
        <v>5000</v>
      </c>
      <c r="C9" s="10">
        <v>8000</v>
      </c>
      <c r="D9" s="25">
        <v>5000</v>
      </c>
    </row>
    <row r="10" spans="1:5" x14ac:dyDescent="0.3">
      <c r="A10" s="24" t="s">
        <v>8</v>
      </c>
      <c r="B10" s="6">
        <v>5000</v>
      </c>
      <c r="C10" s="10">
        <v>5000</v>
      </c>
      <c r="D10" s="25">
        <v>5000</v>
      </c>
    </row>
    <row r="11" spans="1:5" x14ac:dyDescent="0.3">
      <c r="A11" s="26" t="s">
        <v>9</v>
      </c>
      <c r="B11" s="13">
        <f>+B9-B10</f>
        <v>0</v>
      </c>
      <c r="C11" s="14">
        <f>+C9-C10</f>
        <v>3000</v>
      </c>
      <c r="D11" s="27">
        <f>+D9-D10</f>
        <v>0</v>
      </c>
    </row>
    <row r="12" spans="1:5" x14ac:dyDescent="0.3">
      <c r="A12" s="24"/>
      <c r="B12" s="6"/>
      <c r="C12" s="10"/>
      <c r="D12" s="25"/>
    </row>
    <row r="13" spans="1:5" x14ac:dyDescent="0.3">
      <c r="A13" s="24" t="s">
        <v>10</v>
      </c>
      <c r="B13" s="7"/>
      <c r="C13" s="10"/>
      <c r="D13" s="25"/>
    </row>
    <row r="14" spans="1:5" x14ac:dyDescent="0.3">
      <c r="A14" s="24" t="s">
        <v>11</v>
      </c>
      <c r="B14" s="7">
        <v>60000</v>
      </c>
      <c r="C14" s="7">
        <v>70000</v>
      </c>
      <c r="D14" s="28">
        <v>82000</v>
      </c>
    </row>
    <row r="15" spans="1:5" x14ac:dyDescent="0.3">
      <c r="A15" s="24" t="s">
        <v>12</v>
      </c>
      <c r="B15" s="7">
        <v>2000</v>
      </c>
      <c r="C15" s="7">
        <v>2000</v>
      </c>
      <c r="D15" s="28">
        <v>2000</v>
      </c>
    </row>
    <row r="16" spans="1:5" x14ac:dyDescent="0.3">
      <c r="A16" s="29" t="s">
        <v>13</v>
      </c>
      <c r="B16" s="12">
        <f>++B14+B15</f>
        <v>62000</v>
      </c>
      <c r="C16" s="12">
        <f>+C14+C15</f>
        <v>72000</v>
      </c>
      <c r="D16" s="30">
        <f>++D14+D15</f>
        <v>84000</v>
      </c>
    </row>
    <row r="17" spans="1:4" x14ac:dyDescent="0.3">
      <c r="A17" s="24"/>
      <c r="B17" s="7"/>
      <c r="C17" s="7"/>
      <c r="D17" s="28"/>
    </row>
    <row r="18" spans="1:4" x14ac:dyDescent="0.3">
      <c r="A18" s="24" t="s">
        <v>14</v>
      </c>
      <c r="B18" s="7">
        <f>+B16+B11</f>
        <v>62000</v>
      </c>
      <c r="C18" s="7">
        <f>+C16+C11</f>
        <v>75000</v>
      </c>
      <c r="D18" s="28">
        <f>+D16+D11</f>
        <v>84000</v>
      </c>
    </row>
    <row r="19" spans="1:4" x14ac:dyDescent="0.3">
      <c r="A19" s="24"/>
      <c r="B19" s="7"/>
      <c r="C19" s="7"/>
      <c r="D19" s="28" t="s">
        <v>27</v>
      </c>
    </row>
    <row r="20" spans="1:4" x14ac:dyDescent="0.3">
      <c r="A20" s="24" t="s">
        <v>15</v>
      </c>
      <c r="B20" s="7"/>
      <c r="C20" s="7"/>
      <c r="D20" s="28"/>
    </row>
    <row r="21" spans="1:4" x14ac:dyDescent="0.3">
      <c r="A21" s="24" t="s">
        <v>16</v>
      </c>
      <c r="B21" s="7">
        <v>50000</v>
      </c>
      <c r="C21" s="7">
        <v>70000</v>
      </c>
      <c r="D21" s="28">
        <v>80000</v>
      </c>
    </row>
    <row r="22" spans="1:4" x14ac:dyDescent="0.3">
      <c r="A22" s="24" t="s">
        <v>17</v>
      </c>
      <c r="B22" s="7">
        <v>3000</v>
      </c>
      <c r="C22" s="7">
        <v>3000</v>
      </c>
      <c r="D22" s="28">
        <v>3000</v>
      </c>
    </row>
    <row r="23" spans="1:4" x14ac:dyDescent="0.3">
      <c r="A23" s="24" t="s">
        <v>18</v>
      </c>
      <c r="B23" s="7">
        <f>+B14*0.1</f>
        <v>6000</v>
      </c>
      <c r="C23" s="7">
        <f>+C14*0.1</f>
        <v>7000</v>
      </c>
      <c r="D23" s="28">
        <v>8000</v>
      </c>
    </row>
    <row r="24" spans="1:4" x14ac:dyDescent="0.3">
      <c r="A24" s="24" t="s">
        <v>19</v>
      </c>
      <c r="B24" s="7"/>
      <c r="C24" s="7">
        <v>3000</v>
      </c>
      <c r="D24" s="28"/>
    </row>
    <row r="25" spans="1:4" x14ac:dyDescent="0.3">
      <c r="A25" s="31" t="s">
        <v>20</v>
      </c>
      <c r="B25" s="2"/>
      <c r="C25" s="9">
        <v>4000</v>
      </c>
      <c r="D25" s="32"/>
    </row>
    <row r="26" spans="1:4" x14ac:dyDescent="0.3">
      <c r="A26" s="31" t="s">
        <v>21</v>
      </c>
      <c r="B26" s="7"/>
      <c r="C26" s="7"/>
      <c r="D26" s="33">
        <v>6000</v>
      </c>
    </row>
    <row r="27" spans="1:4" x14ac:dyDescent="0.3">
      <c r="A27" s="31" t="s">
        <v>22</v>
      </c>
      <c r="B27" s="7"/>
      <c r="C27" s="9">
        <v>6000</v>
      </c>
      <c r="D27" s="28"/>
    </row>
    <row r="28" spans="1:4" x14ac:dyDescent="0.3">
      <c r="A28" s="26" t="s">
        <v>23</v>
      </c>
      <c r="B28" s="12">
        <f>+SUM(B21:B23)</f>
        <v>59000</v>
      </c>
      <c r="C28" s="12">
        <f>+SUM(C21:C27)</f>
        <v>93000</v>
      </c>
      <c r="D28" s="30">
        <f>+SUM(D21:D26)</f>
        <v>97000</v>
      </c>
    </row>
    <row r="29" spans="1:4" x14ac:dyDescent="0.3">
      <c r="A29" s="24"/>
      <c r="B29" s="7"/>
      <c r="C29" s="7"/>
      <c r="D29" s="28"/>
    </row>
    <row r="30" spans="1:4" x14ac:dyDescent="0.3">
      <c r="A30" s="24" t="s">
        <v>24</v>
      </c>
      <c r="B30" s="7">
        <v>3000</v>
      </c>
      <c r="C30" s="7">
        <v>-18000</v>
      </c>
      <c r="D30" s="28">
        <f>+D16-D28</f>
        <v>-13000</v>
      </c>
    </row>
    <row r="31" spans="1:4" x14ac:dyDescent="0.3">
      <c r="A31" s="24" t="s">
        <v>25</v>
      </c>
      <c r="B31" s="7"/>
      <c r="C31" s="7">
        <v>18000</v>
      </c>
      <c r="D31" s="28">
        <v>13000</v>
      </c>
    </row>
    <row r="32" spans="1:4" x14ac:dyDescent="0.3">
      <c r="A32" s="24"/>
      <c r="B32" s="7"/>
      <c r="C32" s="7"/>
      <c r="D32" s="28"/>
    </row>
    <row r="33" spans="1:4" ht="15" thickBot="1" x14ac:dyDescent="0.35">
      <c r="A33" s="34" t="s">
        <v>26</v>
      </c>
      <c r="B33" s="35">
        <f>+B30+B10</f>
        <v>8000</v>
      </c>
      <c r="C33" s="35">
        <f>+C10</f>
        <v>5000</v>
      </c>
      <c r="D33" s="36">
        <f>+D10</f>
        <v>5000</v>
      </c>
    </row>
    <row r="34" spans="1:4" x14ac:dyDescent="0.3">
      <c r="A34" s="4"/>
      <c r="B34" s="16"/>
      <c r="C34" s="16"/>
      <c r="D34" s="16"/>
    </row>
    <row r="35" spans="1:4" x14ac:dyDescent="0.3">
      <c r="A35" s="4"/>
      <c r="B35" s="16"/>
      <c r="C35" s="16"/>
      <c r="D35" s="16"/>
    </row>
    <row r="36" spans="1:4" x14ac:dyDescent="0.3">
      <c r="A36" s="4"/>
      <c r="B36" s="16"/>
      <c r="C36" s="16"/>
      <c r="D36" s="16"/>
    </row>
    <row r="37" spans="1:4" x14ac:dyDescent="0.3">
      <c r="A37" s="4"/>
      <c r="B37" s="16"/>
      <c r="C37" s="16"/>
      <c r="D37" s="16"/>
    </row>
    <row r="38" spans="1:4" x14ac:dyDescent="0.3">
      <c r="A38" s="4"/>
      <c r="B38" s="16"/>
      <c r="C38" s="16"/>
      <c r="D38" s="16"/>
    </row>
    <row r="39" spans="1:4" x14ac:dyDescent="0.3">
      <c r="A39" s="4"/>
      <c r="B39" s="16"/>
      <c r="C39" s="16"/>
      <c r="D39" s="16"/>
    </row>
    <row r="40" spans="1:4" x14ac:dyDescent="0.3">
      <c r="A40" s="4"/>
      <c r="B40" s="16"/>
      <c r="C40" s="16"/>
      <c r="D40" s="16"/>
    </row>
    <row r="41" spans="1:4" x14ac:dyDescent="0.3">
      <c r="B41" s="8"/>
      <c r="C41" s="8"/>
      <c r="D41" s="8"/>
    </row>
    <row r="42" spans="1:4" x14ac:dyDescent="0.3">
      <c r="B42" s="8"/>
      <c r="C42" s="8"/>
      <c r="D42" s="8"/>
    </row>
    <row r="43" spans="1:4" x14ac:dyDescent="0.3">
      <c r="B43" s="8"/>
      <c r="C43" s="8"/>
      <c r="D43" s="8"/>
    </row>
  </sheetData>
  <mergeCells count="3">
    <mergeCell ref="A4:D4"/>
    <mergeCell ref="A6:D6"/>
    <mergeCell ref="A5:D5"/>
  </mergeCells>
  <pageMargins left="0.7" right="0.7" top="0.75" bottom="0.75" header="0.3" footer="0.3"/>
  <pageSetup orientation="portrait"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1F108-311E-42F3-AA5A-9980D53F8221}">
  <dimension ref="B2:J90"/>
  <sheetViews>
    <sheetView topLeftCell="A13" zoomScale="70" zoomScaleNormal="70" workbookViewId="0">
      <selection activeCell="A42" sqref="A42"/>
    </sheetView>
  </sheetViews>
  <sheetFormatPr baseColWidth="10" defaultRowHeight="14.4" x14ac:dyDescent="0.3"/>
  <cols>
    <col min="2" max="2" width="29.5546875" customWidth="1"/>
    <col min="3" max="3" width="12.88671875" customWidth="1"/>
  </cols>
  <sheetData>
    <row r="2" spans="2:8" ht="15" thickBot="1" x14ac:dyDescent="0.35"/>
    <row r="3" spans="2:8" x14ac:dyDescent="0.3">
      <c r="B3" s="39" t="s">
        <v>37</v>
      </c>
      <c r="C3" s="40"/>
      <c r="D3" s="40"/>
      <c r="E3" s="40"/>
      <c r="F3" s="40"/>
      <c r="G3" s="40"/>
      <c r="H3" s="41"/>
    </row>
    <row r="4" spans="2:8" x14ac:dyDescent="0.3">
      <c r="B4" s="42" t="s">
        <v>28</v>
      </c>
      <c r="C4" s="1"/>
      <c r="D4" s="1"/>
      <c r="E4" s="1"/>
      <c r="F4" s="1"/>
      <c r="G4" s="1"/>
      <c r="H4" s="43"/>
    </row>
    <row r="5" spans="2:8" x14ac:dyDescent="0.3">
      <c r="B5" s="42" t="s">
        <v>29</v>
      </c>
      <c r="C5" s="1"/>
      <c r="D5" s="1"/>
      <c r="E5" s="1"/>
      <c r="F5" s="1"/>
      <c r="G5" s="1"/>
      <c r="H5" s="43"/>
    </row>
    <row r="6" spans="2:8" x14ac:dyDescent="0.3">
      <c r="B6" s="26" t="s">
        <v>30</v>
      </c>
      <c r="C6" s="11" t="s">
        <v>31</v>
      </c>
      <c r="D6" s="11" t="s">
        <v>32</v>
      </c>
      <c r="E6" s="11" t="s">
        <v>33</v>
      </c>
      <c r="F6" s="11" t="s">
        <v>34</v>
      </c>
      <c r="G6" s="11" t="s">
        <v>35</v>
      </c>
      <c r="H6" s="44" t="s">
        <v>36</v>
      </c>
    </row>
    <row r="7" spans="2:8" x14ac:dyDescent="0.3">
      <c r="B7" s="24" t="s">
        <v>65</v>
      </c>
      <c r="C7" s="37">
        <v>170000</v>
      </c>
      <c r="D7" s="37">
        <v>160000</v>
      </c>
      <c r="E7" s="37">
        <v>140000</v>
      </c>
      <c r="F7" s="37">
        <v>180000</v>
      </c>
      <c r="G7" s="37">
        <v>200000</v>
      </c>
      <c r="H7" s="45">
        <v>250000</v>
      </c>
    </row>
    <row r="8" spans="2:8" x14ac:dyDescent="0.3">
      <c r="B8" s="24" t="s">
        <v>64</v>
      </c>
      <c r="C8" s="37">
        <v>140000</v>
      </c>
      <c r="D8" s="37">
        <v>100000</v>
      </c>
      <c r="E8" s="37">
        <v>80000</v>
      </c>
      <c r="F8" s="37">
        <v>110000</v>
      </c>
      <c r="G8" s="37">
        <v>100000</v>
      </c>
      <c r="H8" s="45">
        <v>90000</v>
      </c>
    </row>
    <row r="9" spans="2:8" x14ac:dyDescent="0.3">
      <c r="B9" s="24"/>
      <c r="C9" s="37"/>
      <c r="D9" s="37"/>
      <c r="E9" s="37"/>
      <c r="F9" s="37"/>
      <c r="G9" s="37"/>
      <c r="H9" s="45"/>
    </row>
    <row r="10" spans="2:8" x14ac:dyDescent="0.3">
      <c r="B10" s="46" t="s">
        <v>63</v>
      </c>
      <c r="C10" s="37"/>
      <c r="D10" s="37"/>
      <c r="E10" s="37"/>
      <c r="F10" s="37"/>
      <c r="G10" s="37"/>
      <c r="H10" s="45"/>
    </row>
    <row r="11" spans="2:8" x14ac:dyDescent="0.3">
      <c r="B11" s="24" t="s">
        <v>62</v>
      </c>
      <c r="C11" s="37">
        <f>C7*0.2</f>
        <v>34000</v>
      </c>
      <c r="D11" s="37">
        <f>D7*0.2</f>
        <v>32000</v>
      </c>
      <c r="E11" s="37">
        <f>E7*0.2</f>
        <v>28000</v>
      </c>
      <c r="F11" s="37">
        <f>F7*0.2</f>
        <v>36000</v>
      </c>
      <c r="G11" s="37">
        <f>G7*0.2</f>
        <v>40000</v>
      </c>
      <c r="H11" s="45">
        <f>H7*0.2</f>
        <v>50000</v>
      </c>
    </row>
    <row r="12" spans="2:8" x14ac:dyDescent="0.3">
      <c r="B12" s="24" t="s">
        <v>61</v>
      </c>
      <c r="C12" s="37">
        <f>0.4*250000</f>
        <v>100000</v>
      </c>
      <c r="D12" s="37">
        <f>C7*0.4</f>
        <v>68000</v>
      </c>
      <c r="E12" s="37">
        <f>D7*0.4</f>
        <v>64000</v>
      </c>
      <c r="F12" s="37">
        <f>E7*0.4</f>
        <v>56000</v>
      </c>
      <c r="G12" s="37">
        <f>F7*0.4</f>
        <v>72000</v>
      </c>
      <c r="H12" s="45">
        <f>G7*0.4</f>
        <v>80000</v>
      </c>
    </row>
    <row r="13" spans="2:8" x14ac:dyDescent="0.3">
      <c r="B13" s="24" t="s">
        <v>56</v>
      </c>
      <c r="C13" s="37">
        <f>0.4*210000</f>
        <v>84000</v>
      </c>
      <c r="D13" s="37">
        <f>0.4*250000</f>
        <v>100000</v>
      </c>
      <c r="E13" s="37">
        <f>C7*0.4</f>
        <v>68000</v>
      </c>
      <c r="F13" s="37">
        <f>D7*0.4</f>
        <v>64000</v>
      </c>
      <c r="G13" s="37">
        <f>E7*0.4</f>
        <v>56000</v>
      </c>
      <c r="H13" s="45">
        <f>F7*0.4</f>
        <v>72000</v>
      </c>
    </row>
    <row r="14" spans="2:8" x14ac:dyDescent="0.3">
      <c r="B14" s="47" t="s">
        <v>60</v>
      </c>
      <c r="C14" s="38">
        <f>SUM(C11:C13)</f>
        <v>218000</v>
      </c>
      <c r="D14" s="38">
        <f>SUM(D11:D13)</f>
        <v>200000</v>
      </c>
      <c r="E14" s="38">
        <f>SUM(E11:E13)</f>
        <v>160000</v>
      </c>
      <c r="F14" s="38">
        <f>SUM(F11:F13)</f>
        <v>156000</v>
      </c>
      <c r="G14" s="38">
        <f>SUM(G11:G13)</f>
        <v>168000</v>
      </c>
      <c r="H14" s="48">
        <f>SUM(H11:H13)</f>
        <v>202000</v>
      </c>
    </row>
    <row r="15" spans="2:8" x14ac:dyDescent="0.3">
      <c r="B15" s="24"/>
      <c r="C15" s="37"/>
      <c r="D15" s="37"/>
      <c r="E15" s="37"/>
      <c r="F15" s="37"/>
      <c r="G15" s="37"/>
      <c r="H15" s="45"/>
    </row>
    <row r="16" spans="2:8" x14ac:dyDescent="0.3">
      <c r="B16" s="46" t="s">
        <v>59</v>
      </c>
      <c r="C16" s="37"/>
      <c r="D16" s="37"/>
      <c r="E16" s="37"/>
      <c r="F16" s="37"/>
      <c r="G16" s="37"/>
      <c r="H16" s="45"/>
    </row>
    <row r="17" spans="2:8" x14ac:dyDescent="0.3">
      <c r="B17" s="24" t="s">
        <v>58</v>
      </c>
      <c r="C17" s="37">
        <f>C8*0.1</f>
        <v>14000</v>
      </c>
      <c r="D17" s="37">
        <f>D8*0.1</f>
        <v>10000</v>
      </c>
      <c r="E17" s="37">
        <f>E8*0.1</f>
        <v>8000</v>
      </c>
      <c r="F17" s="37">
        <f>F8*0.1</f>
        <v>11000</v>
      </c>
      <c r="G17" s="37">
        <f>G8*0.1</f>
        <v>10000</v>
      </c>
      <c r="H17" s="45">
        <f>H8*0.1</f>
        <v>9000</v>
      </c>
    </row>
    <row r="18" spans="2:8" x14ac:dyDescent="0.3">
      <c r="B18" s="24" t="s">
        <v>57</v>
      </c>
      <c r="C18" s="37">
        <f>0.5*150000</f>
        <v>75000</v>
      </c>
      <c r="D18" s="37">
        <f>C8*0.5</f>
        <v>70000</v>
      </c>
      <c r="E18" s="37">
        <f>D8*0.5</f>
        <v>50000</v>
      </c>
      <c r="F18" s="37">
        <f>E8*0.5</f>
        <v>40000</v>
      </c>
      <c r="G18" s="37">
        <f>F8*0.5</f>
        <v>55000</v>
      </c>
      <c r="H18" s="45">
        <f>G8*0.5</f>
        <v>50000</v>
      </c>
    </row>
    <row r="19" spans="2:8" x14ac:dyDescent="0.3">
      <c r="B19" s="24" t="s">
        <v>56</v>
      </c>
      <c r="C19" s="37">
        <f>0.4*120000</f>
        <v>48000</v>
      </c>
      <c r="D19" s="37">
        <f>0.4*150000</f>
        <v>60000</v>
      </c>
      <c r="E19" s="37">
        <f>C8*0.4</f>
        <v>56000</v>
      </c>
      <c r="F19" s="37">
        <f>D8*0.4</f>
        <v>40000</v>
      </c>
      <c r="G19" s="37">
        <f>E8*0.4</f>
        <v>32000</v>
      </c>
      <c r="H19" s="45">
        <f>F8*0.4</f>
        <v>44000</v>
      </c>
    </row>
    <row r="20" spans="2:8" x14ac:dyDescent="0.3">
      <c r="B20" s="47" t="s">
        <v>55</v>
      </c>
      <c r="C20" s="38">
        <f>SUM(C17:C19)</f>
        <v>137000</v>
      </c>
      <c r="D20" s="38">
        <f>SUM(D17:D19)</f>
        <v>140000</v>
      </c>
      <c r="E20" s="38">
        <f t="shared" ref="E20:H20" si="0">SUM(E17:E19)</f>
        <v>114000</v>
      </c>
      <c r="F20" s="38">
        <f t="shared" si="0"/>
        <v>91000</v>
      </c>
      <c r="G20" s="38">
        <f>SUM(G17:G19)</f>
        <v>97000</v>
      </c>
      <c r="H20" s="48">
        <f t="shared" si="0"/>
        <v>103000</v>
      </c>
    </row>
    <row r="21" spans="2:8" x14ac:dyDescent="0.3">
      <c r="B21" s="24"/>
      <c r="C21" s="37"/>
      <c r="D21" s="37"/>
      <c r="E21" s="37"/>
      <c r="F21" s="37"/>
      <c r="G21" s="37"/>
      <c r="H21" s="45"/>
    </row>
    <row r="22" spans="2:8" x14ac:dyDescent="0.3">
      <c r="B22" s="46" t="s">
        <v>54</v>
      </c>
      <c r="C22" s="37"/>
      <c r="D22" s="37"/>
      <c r="E22" s="37"/>
      <c r="F22" s="37"/>
      <c r="G22" s="37"/>
      <c r="H22" s="45"/>
    </row>
    <row r="23" spans="2:8" x14ac:dyDescent="0.3">
      <c r="B23" s="24" t="s">
        <v>38</v>
      </c>
      <c r="C23" s="37">
        <v>22000</v>
      </c>
      <c r="D23" s="37">
        <f>D26</f>
        <v>100000</v>
      </c>
      <c r="E23" s="37">
        <f>E26</f>
        <v>83000</v>
      </c>
      <c r="F23" s="37">
        <f>F26</f>
        <v>71000</v>
      </c>
      <c r="G23" s="37">
        <f>G26</f>
        <v>71000</v>
      </c>
      <c r="H23" s="45">
        <f>H26</f>
        <v>84000</v>
      </c>
    </row>
    <row r="24" spans="2:8" x14ac:dyDescent="0.3">
      <c r="B24" s="24" t="s">
        <v>39</v>
      </c>
      <c r="C24" s="37">
        <f>C13</f>
        <v>84000</v>
      </c>
      <c r="D24" s="37">
        <f>D13</f>
        <v>100000</v>
      </c>
      <c r="E24" s="37">
        <f>E13</f>
        <v>68000</v>
      </c>
      <c r="F24" s="37">
        <f>F13</f>
        <v>64000</v>
      </c>
      <c r="G24" s="37">
        <f>G13</f>
        <v>56000</v>
      </c>
      <c r="H24" s="45">
        <f>H13</f>
        <v>72000</v>
      </c>
    </row>
    <row r="25" spans="2:8" x14ac:dyDescent="0.3">
      <c r="B25" s="24" t="s">
        <v>40</v>
      </c>
      <c r="C25" s="37">
        <v>12000</v>
      </c>
      <c r="D25" s="37">
        <v>0</v>
      </c>
      <c r="E25" s="37">
        <v>15000</v>
      </c>
      <c r="F25" s="37">
        <v>7000</v>
      </c>
      <c r="G25" s="37">
        <v>15000</v>
      </c>
      <c r="H25" s="45">
        <v>12000</v>
      </c>
    </row>
    <row r="26" spans="2:8" x14ac:dyDescent="0.3">
      <c r="B26" s="29" t="s">
        <v>41</v>
      </c>
      <c r="C26" s="52">
        <f>SUM(C24:C25)</f>
        <v>96000</v>
      </c>
      <c r="D26" s="52">
        <f>SUM(D24:D25)</f>
        <v>100000</v>
      </c>
      <c r="E26" s="52">
        <f>SUM(E24:E25)</f>
        <v>83000</v>
      </c>
      <c r="F26" s="52">
        <f>SUM(F24:F25)</f>
        <v>71000</v>
      </c>
      <c r="G26" s="52">
        <f>SUM(G24:G25)</f>
        <v>71000</v>
      </c>
      <c r="H26" s="53">
        <f>SUM(H24:H25)</f>
        <v>84000</v>
      </c>
    </row>
    <row r="27" spans="2:8" x14ac:dyDescent="0.3">
      <c r="B27" s="47" t="s">
        <v>66</v>
      </c>
      <c r="C27" s="38">
        <f>SUM(C23:C26)</f>
        <v>214000</v>
      </c>
      <c r="D27" s="38">
        <f>SUM(D23:D26)</f>
        <v>300000</v>
      </c>
      <c r="E27" s="38">
        <f>SUM(E23:E26)</f>
        <v>249000</v>
      </c>
      <c r="F27" s="38">
        <f>SUM(F23:F26)</f>
        <v>213000</v>
      </c>
      <c r="G27" s="38">
        <f>SUM(G23:G26)</f>
        <v>213000</v>
      </c>
      <c r="H27" s="48">
        <f>SUM(H23:H26)</f>
        <v>252000</v>
      </c>
    </row>
    <row r="28" spans="2:8" x14ac:dyDescent="0.3">
      <c r="B28" s="24"/>
      <c r="C28" s="37"/>
      <c r="D28" s="37"/>
      <c r="E28" s="37"/>
      <c r="F28" s="37"/>
      <c r="G28" s="37"/>
      <c r="H28" s="45"/>
    </row>
    <row r="29" spans="2:8" x14ac:dyDescent="0.3">
      <c r="B29" s="24" t="s">
        <v>42</v>
      </c>
      <c r="C29" s="37">
        <f>C19</f>
        <v>48000</v>
      </c>
      <c r="D29" s="37">
        <f>D19</f>
        <v>60000</v>
      </c>
      <c r="E29" s="37">
        <f>E19</f>
        <v>56000</v>
      </c>
      <c r="F29" s="37">
        <f>F19</f>
        <v>40000</v>
      </c>
      <c r="G29" s="37">
        <f>G19</f>
        <v>32000</v>
      </c>
      <c r="H29" s="45">
        <f>H19</f>
        <v>44000</v>
      </c>
    </row>
    <row r="30" spans="2:8" x14ac:dyDescent="0.3">
      <c r="B30" s="24" t="s">
        <v>43</v>
      </c>
      <c r="C30" s="37">
        <f>C7*0.2</f>
        <v>34000</v>
      </c>
      <c r="D30" s="37">
        <f>D7*0.2</f>
        <v>32000</v>
      </c>
      <c r="E30" s="37">
        <f>E7*0.2</f>
        <v>28000</v>
      </c>
      <c r="F30" s="37">
        <f>F7*0.2</f>
        <v>36000</v>
      </c>
      <c r="G30" s="37">
        <f>G7*0.2</f>
        <v>40000</v>
      </c>
      <c r="H30" s="45">
        <f>H7*0.2</f>
        <v>50000</v>
      </c>
    </row>
    <row r="31" spans="2:8" x14ac:dyDescent="0.3">
      <c r="B31" s="24" t="s">
        <v>44</v>
      </c>
      <c r="C31" s="37">
        <v>20000</v>
      </c>
      <c r="D31" s="37">
        <v>20000</v>
      </c>
      <c r="E31" s="37">
        <v>20000</v>
      </c>
      <c r="F31" s="37">
        <v>20000</v>
      </c>
      <c r="G31" s="37">
        <v>20000</v>
      </c>
      <c r="H31" s="45">
        <v>20000</v>
      </c>
    </row>
    <row r="32" spans="2:8" x14ac:dyDescent="0.3">
      <c r="B32" s="24" t="s">
        <v>45</v>
      </c>
      <c r="C32" s="37">
        <v>0</v>
      </c>
      <c r="D32" s="37">
        <v>0</v>
      </c>
      <c r="E32" s="37">
        <v>20000</v>
      </c>
      <c r="F32" s="37">
        <v>0</v>
      </c>
      <c r="G32" s="37">
        <v>0</v>
      </c>
      <c r="H32" s="45">
        <v>20000</v>
      </c>
    </row>
    <row r="33" spans="2:10" x14ac:dyDescent="0.3">
      <c r="B33" s="24" t="s">
        <v>46</v>
      </c>
      <c r="C33" s="37">
        <v>0</v>
      </c>
      <c r="D33" s="37">
        <v>0</v>
      </c>
      <c r="E33" s="37">
        <v>10000</v>
      </c>
      <c r="F33" s="37">
        <v>0</v>
      </c>
      <c r="G33" s="37">
        <v>0</v>
      </c>
      <c r="H33" s="45">
        <v>10000</v>
      </c>
    </row>
    <row r="34" spans="2:10" x14ac:dyDescent="0.3">
      <c r="B34" s="24" t="s">
        <v>47</v>
      </c>
      <c r="C34" s="37">
        <v>0</v>
      </c>
      <c r="D34" s="37">
        <v>0</v>
      </c>
      <c r="E34" s="37">
        <v>0</v>
      </c>
      <c r="F34" s="37">
        <v>0</v>
      </c>
      <c r="G34" s="37">
        <v>0</v>
      </c>
      <c r="H34" s="45">
        <v>30000</v>
      </c>
    </row>
    <row r="35" spans="2:10" x14ac:dyDescent="0.3">
      <c r="B35" s="24" t="s">
        <v>48</v>
      </c>
      <c r="C35" s="37">
        <v>0</v>
      </c>
      <c r="D35" s="37">
        <v>0</v>
      </c>
      <c r="E35" s="37">
        <v>0</v>
      </c>
      <c r="F35" s="37">
        <v>0</v>
      </c>
      <c r="G35" s="37">
        <v>80000</v>
      </c>
      <c r="H35" s="45">
        <v>0</v>
      </c>
    </row>
    <row r="36" spans="2:10" x14ac:dyDescent="0.3">
      <c r="B36" s="24" t="s">
        <v>49</v>
      </c>
      <c r="C36" s="37">
        <v>0</v>
      </c>
      <c r="D36" s="37">
        <v>250000</v>
      </c>
      <c r="E36" s="37">
        <v>0</v>
      </c>
      <c r="F36" s="37">
        <v>0</v>
      </c>
      <c r="G36" s="37">
        <v>0</v>
      </c>
      <c r="H36" s="45">
        <v>0</v>
      </c>
    </row>
    <row r="37" spans="2:10" x14ac:dyDescent="0.3">
      <c r="B37" s="54" t="s">
        <v>50</v>
      </c>
      <c r="C37" s="55">
        <f>SUM(C29:C36)</f>
        <v>102000</v>
      </c>
      <c r="D37" s="55">
        <f>SUM(D29:D36)</f>
        <v>362000</v>
      </c>
      <c r="E37" s="55">
        <f>SUM(E29:E36)</f>
        <v>134000</v>
      </c>
      <c r="F37" s="55">
        <f>SUM(F29:F36)</f>
        <v>96000</v>
      </c>
      <c r="G37" s="55">
        <f>SUM(G29:G36)</f>
        <v>172000</v>
      </c>
      <c r="H37" s="56">
        <f>SUM(H29:H36)</f>
        <v>174000</v>
      </c>
    </row>
    <row r="38" spans="2:10" x14ac:dyDescent="0.3">
      <c r="B38" s="47" t="s">
        <v>53</v>
      </c>
      <c r="C38" s="38">
        <f>C27-C37</f>
        <v>112000</v>
      </c>
      <c r="D38" s="38">
        <f>D27-D37</f>
        <v>-62000</v>
      </c>
      <c r="E38" s="38">
        <f>E27-E37</f>
        <v>115000</v>
      </c>
      <c r="F38" s="38">
        <f>F27-F37</f>
        <v>117000</v>
      </c>
      <c r="G38" s="38">
        <f>G27-G37</f>
        <v>41000</v>
      </c>
      <c r="H38" s="48">
        <f>H27-H37</f>
        <v>78000</v>
      </c>
    </row>
    <row r="39" spans="2:10" x14ac:dyDescent="0.3">
      <c r="B39" s="47" t="s">
        <v>51</v>
      </c>
      <c r="C39" s="38">
        <f>IF(C38&lt;15000,15000-C38,0)</f>
        <v>0</v>
      </c>
      <c r="D39" s="38">
        <f>IF(D38&lt;15000,15000-D38,0)</f>
        <v>77000</v>
      </c>
      <c r="E39" s="38">
        <f>IF(E38&lt;15000,15000-E38,0)</f>
        <v>0</v>
      </c>
      <c r="F39" s="38">
        <f>IF(F38&lt;15000,15000-F38,0)</f>
        <v>0</v>
      </c>
      <c r="G39" s="38">
        <f>IF(G38&lt;15000,15000-G38,0)</f>
        <v>0</v>
      </c>
      <c r="H39" s="48">
        <f>IF(H38&lt;15000,15000-H38,0)</f>
        <v>0</v>
      </c>
    </row>
    <row r="40" spans="2:10" ht="15" thickBot="1" x14ac:dyDescent="0.35">
      <c r="B40" s="49" t="s">
        <v>52</v>
      </c>
      <c r="C40" s="50">
        <f>C38+C39</f>
        <v>112000</v>
      </c>
      <c r="D40" s="50">
        <f>D38+D39</f>
        <v>15000</v>
      </c>
      <c r="E40" s="50">
        <f>E38+E39</f>
        <v>115000</v>
      </c>
      <c r="F40" s="50">
        <f>F38+F39</f>
        <v>117000</v>
      </c>
      <c r="G40" s="50">
        <f>G38+G39</f>
        <v>41000</v>
      </c>
      <c r="H40" s="51">
        <f>H38+H39</f>
        <v>78000</v>
      </c>
    </row>
    <row r="41" spans="2:10" x14ac:dyDescent="0.3">
      <c r="B41" s="4"/>
      <c r="C41" s="16"/>
      <c r="D41" s="16"/>
      <c r="E41" s="16"/>
      <c r="F41" s="16"/>
      <c r="G41" s="16"/>
      <c r="H41" s="16"/>
    </row>
    <row r="42" spans="2:10" ht="158.4" customHeight="1" x14ac:dyDescent="0.3">
      <c r="B42" s="57" t="s">
        <v>67</v>
      </c>
      <c r="C42" s="57"/>
      <c r="D42" s="57"/>
      <c r="E42" s="57"/>
      <c r="F42" s="57"/>
      <c r="G42" s="57"/>
      <c r="H42" s="57"/>
      <c r="I42" s="57"/>
      <c r="J42" s="57"/>
    </row>
    <row r="43" spans="2:10" x14ac:dyDescent="0.3">
      <c r="B43" s="4"/>
      <c r="C43" s="16"/>
      <c r="D43" s="16"/>
      <c r="E43" s="16"/>
      <c r="F43" s="16"/>
      <c r="G43" s="16"/>
      <c r="H43" s="16"/>
    </row>
    <row r="44" spans="2:10" x14ac:dyDescent="0.3">
      <c r="B44" s="4"/>
      <c r="C44" s="16"/>
      <c r="D44" s="16"/>
      <c r="E44" s="16"/>
      <c r="F44" s="16"/>
      <c r="G44" s="16"/>
      <c r="H44" s="16"/>
    </row>
    <row r="45" spans="2:10" x14ac:dyDescent="0.3">
      <c r="B45" s="4"/>
      <c r="C45" s="16"/>
      <c r="D45" s="16"/>
      <c r="E45" s="16"/>
      <c r="F45" s="16"/>
      <c r="G45" s="16"/>
      <c r="H45" s="16"/>
    </row>
    <row r="46" spans="2:10" x14ac:dyDescent="0.3">
      <c r="B46" s="4"/>
      <c r="C46" s="16"/>
      <c r="D46" s="16"/>
      <c r="E46" s="16"/>
      <c r="F46" s="16"/>
      <c r="G46" s="16"/>
      <c r="H46" s="16"/>
    </row>
    <row r="47" spans="2:10" x14ac:dyDescent="0.3">
      <c r="B47" s="4"/>
      <c r="C47" s="16"/>
      <c r="D47" s="16"/>
      <c r="E47" s="16"/>
      <c r="F47" s="16"/>
      <c r="G47" s="16"/>
      <c r="H47" s="16"/>
    </row>
    <row r="48" spans="2:10" x14ac:dyDescent="0.3">
      <c r="B48" s="4"/>
      <c r="C48" s="16"/>
      <c r="D48" s="16"/>
      <c r="E48" s="16"/>
      <c r="F48" s="16"/>
      <c r="G48" s="16"/>
      <c r="H48" s="16"/>
    </row>
    <row r="49" spans="2:8" x14ac:dyDescent="0.3">
      <c r="B49" s="4"/>
      <c r="C49" s="16"/>
      <c r="D49" s="16"/>
      <c r="E49" s="16"/>
      <c r="F49" s="16"/>
      <c r="G49" s="16"/>
      <c r="H49" s="16"/>
    </row>
    <row r="50" spans="2:8" x14ac:dyDescent="0.3">
      <c r="B50" s="4"/>
      <c r="C50" s="4"/>
      <c r="D50" s="4"/>
      <c r="E50" s="4"/>
      <c r="F50" s="4"/>
      <c r="G50" s="4"/>
      <c r="H50" s="4"/>
    </row>
    <row r="51" spans="2:8" x14ac:dyDescent="0.3">
      <c r="B51" s="4"/>
      <c r="C51" s="4"/>
      <c r="D51" s="4"/>
      <c r="E51" s="4"/>
      <c r="F51" s="4"/>
      <c r="G51" s="4"/>
      <c r="H51" s="4"/>
    </row>
    <row r="52" spans="2:8" x14ac:dyDescent="0.3">
      <c r="B52" s="4"/>
      <c r="C52" s="4"/>
      <c r="D52" s="4"/>
      <c r="E52" s="4"/>
      <c r="F52" s="4"/>
      <c r="G52" s="4"/>
      <c r="H52" s="4"/>
    </row>
    <row r="53" spans="2:8" x14ac:dyDescent="0.3">
      <c r="B53" s="4"/>
      <c r="C53" s="4"/>
      <c r="D53" s="4"/>
      <c r="E53" s="4"/>
      <c r="F53" s="4"/>
      <c r="G53" s="4"/>
      <c r="H53" s="4"/>
    </row>
    <row r="54" spans="2:8" x14ac:dyDescent="0.3">
      <c r="B54" s="4"/>
      <c r="C54" s="4"/>
      <c r="D54" s="4"/>
      <c r="E54" s="4"/>
      <c r="F54" s="4"/>
      <c r="G54" s="4"/>
      <c r="H54" s="4"/>
    </row>
    <row r="55" spans="2:8" x14ac:dyDescent="0.3">
      <c r="B55" s="4"/>
      <c r="C55" s="4"/>
      <c r="D55" s="4"/>
      <c r="E55" s="4"/>
      <c r="F55" s="4"/>
      <c r="G55" s="4"/>
      <c r="H55" s="4"/>
    </row>
    <row r="56" spans="2:8" x14ac:dyDescent="0.3">
      <c r="B56" s="4"/>
      <c r="C56" s="4"/>
      <c r="D56" s="4"/>
      <c r="E56" s="4"/>
      <c r="F56" s="4"/>
      <c r="G56" s="4"/>
      <c r="H56" s="4"/>
    </row>
    <row r="57" spans="2:8" x14ac:dyDescent="0.3">
      <c r="B57" s="4"/>
      <c r="C57" s="4"/>
      <c r="D57" s="4"/>
      <c r="E57" s="4"/>
      <c r="F57" s="4"/>
      <c r="G57" s="4"/>
      <c r="H57" s="4"/>
    </row>
    <row r="58" spans="2:8" x14ac:dyDescent="0.3">
      <c r="B58" s="4"/>
      <c r="C58" s="4"/>
      <c r="D58" s="4"/>
      <c r="E58" s="4"/>
      <c r="F58" s="4"/>
      <c r="G58" s="4"/>
      <c r="H58" s="4"/>
    </row>
    <row r="59" spans="2:8" x14ac:dyDescent="0.3">
      <c r="B59" s="4"/>
      <c r="C59" s="4"/>
      <c r="D59" s="4"/>
      <c r="E59" s="4"/>
      <c r="F59" s="4"/>
      <c r="G59" s="4"/>
      <c r="H59" s="4"/>
    </row>
    <row r="60" spans="2:8" x14ac:dyDescent="0.3">
      <c r="B60" s="4"/>
      <c r="C60" s="4"/>
      <c r="D60" s="4"/>
      <c r="E60" s="4"/>
      <c r="F60" s="4"/>
      <c r="G60" s="4"/>
      <c r="H60" s="4"/>
    </row>
    <row r="61" spans="2:8" x14ac:dyDescent="0.3">
      <c r="B61" s="4"/>
      <c r="C61" s="4"/>
      <c r="D61" s="4"/>
      <c r="E61" s="4"/>
      <c r="F61" s="4"/>
      <c r="G61" s="4"/>
      <c r="H61" s="4"/>
    </row>
    <row r="62" spans="2:8" x14ac:dyDescent="0.3">
      <c r="B62" s="4"/>
      <c r="C62" s="4"/>
      <c r="D62" s="4"/>
      <c r="E62" s="4"/>
      <c r="F62" s="4"/>
      <c r="G62" s="4"/>
      <c r="H62" s="4"/>
    </row>
    <row r="63" spans="2:8" x14ac:dyDescent="0.3">
      <c r="B63" s="4"/>
      <c r="C63" s="4"/>
      <c r="D63" s="4"/>
      <c r="E63" s="4"/>
      <c r="F63" s="4"/>
      <c r="G63" s="4"/>
      <c r="H63" s="4"/>
    </row>
    <row r="64" spans="2:8" x14ac:dyDescent="0.3">
      <c r="B64" s="4"/>
      <c r="C64" s="4"/>
      <c r="D64" s="4"/>
      <c r="E64" s="4"/>
      <c r="F64" s="4"/>
      <c r="G64" s="4"/>
      <c r="H64" s="4"/>
    </row>
    <row r="65" spans="2:8" x14ac:dyDescent="0.3">
      <c r="B65" s="4"/>
      <c r="C65" s="4"/>
      <c r="D65" s="4"/>
      <c r="E65" s="4"/>
      <c r="F65" s="4"/>
      <c r="G65" s="4"/>
      <c r="H65" s="4"/>
    </row>
    <row r="66" spans="2:8" x14ac:dyDescent="0.3">
      <c r="B66" s="4"/>
      <c r="C66" s="4"/>
      <c r="D66" s="4"/>
      <c r="E66" s="4"/>
      <c r="F66" s="4"/>
      <c r="G66" s="4"/>
      <c r="H66" s="4"/>
    </row>
    <row r="67" spans="2:8" x14ac:dyDescent="0.3">
      <c r="B67" s="4"/>
      <c r="C67" s="4"/>
      <c r="D67" s="4"/>
      <c r="E67" s="4"/>
      <c r="F67" s="4"/>
      <c r="G67" s="4"/>
      <c r="H67" s="4"/>
    </row>
    <row r="68" spans="2:8" x14ac:dyDescent="0.3">
      <c r="B68" s="4"/>
      <c r="C68" s="4"/>
      <c r="D68" s="4"/>
      <c r="E68" s="4"/>
      <c r="F68" s="4"/>
      <c r="G68" s="4"/>
      <c r="H68" s="4"/>
    </row>
    <row r="69" spans="2:8" x14ac:dyDescent="0.3">
      <c r="B69" s="4"/>
      <c r="C69" s="4"/>
      <c r="D69" s="4"/>
      <c r="E69" s="4"/>
      <c r="F69" s="4"/>
      <c r="G69" s="4"/>
      <c r="H69" s="4"/>
    </row>
    <row r="70" spans="2:8" x14ac:dyDescent="0.3">
      <c r="B70" s="4"/>
      <c r="C70" s="4"/>
      <c r="D70" s="4"/>
      <c r="E70" s="4"/>
      <c r="F70" s="4"/>
      <c r="G70" s="4"/>
      <c r="H70" s="4"/>
    </row>
    <row r="71" spans="2:8" x14ac:dyDescent="0.3">
      <c r="B71" s="4"/>
      <c r="C71" s="4"/>
      <c r="D71" s="4"/>
      <c r="E71" s="4"/>
      <c r="F71" s="4"/>
      <c r="G71" s="4"/>
      <c r="H71" s="4"/>
    </row>
    <row r="72" spans="2:8" x14ac:dyDescent="0.3">
      <c r="B72" s="4"/>
      <c r="C72" s="4"/>
      <c r="D72" s="4"/>
      <c r="E72" s="4"/>
      <c r="F72" s="4"/>
      <c r="G72" s="4"/>
      <c r="H72" s="4"/>
    </row>
    <row r="73" spans="2:8" x14ac:dyDescent="0.3">
      <c r="B73" s="4"/>
      <c r="C73" s="4"/>
      <c r="D73" s="4"/>
      <c r="E73" s="4"/>
      <c r="F73" s="4"/>
      <c r="G73" s="4"/>
      <c r="H73" s="4"/>
    </row>
    <row r="74" spans="2:8" x14ac:dyDescent="0.3">
      <c r="B74" s="4"/>
      <c r="C74" s="4"/>
      <c r="D74" s="4"/>
      <c r="E74" s="4"/>
      <c r="F74" s="4"/>
      <c r="G74" s="4"/>
      <c r="H74" s="4"/>
    </row>
    <row r="75" spans="2:8" x14ac:dyDescent="0.3">
      <c r="B75" s="4"/>
      <c r="C75" s="4"/>
      <c r="D75" s="4"/>
      <c r="E75" s="4"/>
      <c r="F75" s="4"/>
      <c r="G75" s="4"/>
      <c r="H75" s="4"/>
    </row>
    <row r="76" spans="2:8" x14ac:dyDescent="0.3">
      <c r="B76" s="4"/>
      <c r="C76" s="4"/>
      <c r="D76" s="4"/>
      <c r="E76" s="4"/>
      <c r="F76" s="4"/>
      <c r="G76" s="4"/>
      <c r="H76" s="4"/>
    </row>
    <row r="77" spans="2:8" x14ac:dyDescent="0.3">
      <c r="B77" s="4"/>
      <c r="C77" s="4"/>
      <c r="D77" s="4"/>
      <c r="E77" s="4"/>
      <c r="F77" s="4"/>
      <c r="G77" s="4"/>
      <c r="H77" s="4"/>
    </row>
    <row r="78" spans="2:8" x14ac:dyDescent="0.3">
      <c r="B78" s="4"/>
      <c r="C78" s="4"/>
      <c r="D78" s="4"/>
      <c r="E78" s="4"/>
      <c r="F78" s="4"/>
      <c r="G78" s="4"/>
      <c r="H78" s="4"/>
    </row>
    <row r="79" spans="2:8" x14ac:dyDescent="0.3">
      <c r="B79" s="4"/>
      <c r="C79" s="4"/>
      <c r="D79" s="4"/>
      <c r="E79" s="4"/>
      <c r="F79" s="4"/>
      <c r="G79" s="4"/>
      <c r="H79" s="4"/>
    </row>
    <row r="80" spans="2:8" x14ac:dyDescent="0.3">
      <c r="B80" s="4"/>
      <c r="C80" s="4"/>
      <c r="D80" s="4"/>
      <c r="E80" s="4"/>
      <c r="F80" s="4"/>
      <c r="G80" s="4"/>
      <c r="H80" s="4"/>
    </row>
    <row r="81" spans="2:8" x14ac:dyDescent="0.3">
      <c r="B81" s="4"/>
      <c r="C81" s="4"/>
      <c r="D81" s="4"/>
      <c r="E81" s="4"/>
      <c r="F81" s="4"/>
      <c r="G81" s="4"/>
      <c r="H81" s="4"/>
    </row>
    <row r="82" spans="2:8" x14ac:dyDescent="0.3">
      <c r="B82" s="4"/>
      <c r="C82" s="4"/>
      <c r="D82" s="4"/>
      <c r="E82" s="4"/>
      <c r="F82" s="4"/>
      <c r="G82" s="4"/>
      <c r="H82" s="4"/>
    </row>
    <row r="83" spans="2:8" x14ac:dyDescent="0.3">
      <c r="B83" s="4"/>
      <c r="C83" s="4"/>
      <c r="D83" s="4"/>
      <c r="E83" s="4"/>
      <c r="F83" s="4"/>
      <c r="G83" s="4"/>
      <c r="H83" s="4"/>
    </row>
    <row r="84" spans="2:8" x14ac:dyDescent="0.3">
      <c r="B84" s="4"/>
      <c r="C84" s="4"/>
      <c r="D84" s="4"/>
      <c r="E84" s="4"/>
      <c r="F84" s="4"/>
      <c r="G84" s="4"/>
      <c r="H84" s="4"/>
    </row>
    <row r="85" spans="2:8" x14ac:dyDescent="0.3">
      <c r="B85" s="4"/>
      <c r="C85" s="4"/>
      <c r="D85" s="4"/>
      <c r="E85" s="4"/>
      <c r="F85" s="4"/>
      <c r="G85" s="4"/>
      <c r="H85" s="4"/>
    </row>
    <row r="86" spans="2:8" x14ac:dyDescent="0.3">
      <c r="B86" s="4"/>
      <c r="C86" s="4"/>
      <c r="D86" s="4"/>
      <c r="E86" s="4"/>
      <c r="F86" s="4"/>
      <c r="G86" s="4"/>
      <c r="H86" s="4"/>
    </row>
    <row r="87" spans="2:8" x14ac:dyDescent="0.3">
      <c r="B87" s="4"/>
      <c r="C87" s="4"/>
      <c r="D87" s="4"/>
      <c r="E87" s="4"/>
      <c r="F87" s="4"/>
      <c r="G87" s="4"/>
      <c r="H87" s="4"/>
    </row>
    <row r="88" spans="2:8" x14ac:dyDescent="0.3">
      <c r="B88" s="4"/>
      <c r="C88" s="4"/>
      <c r="D88" s="4"/>
      <c r="E88" s="4"/>
      <c r="F88" s="4"/>
      <c r="G88" s="4"/>
      <c r="H88" s="4"/>
    </row>
    <row r="89" spans="2:8" x14ac:dyDescent="0.3">
      <c r="B89" s="4"/>
      <c r="C89" s="4"/>
      <c r="D89" s="4"/>
      <c r="E89" s="4"/>
      <c r="F89" s="4"/>
      <c r="G89" s="4"/>
      <c r="H89" s="4"/>
    </row>
    <row r="90" spans="2:8" x14ac:dyDescent="0.3">
      <c r="B90" s="4"/>
      <c r="C90" s="4"/>
      <c r="D90" s="4"/>
      <c r="E90" s="4"/>
      <c r="F90" s="4"/>
      <c r="G90" s="4"/>
      <c r="H90" s="4"/>
    </row>
  </sheetData>
  <mergeCells count="4">
    <mergeCell ref="B42:J42"/>
    <mergeCell ref="B5:H5"/>
    <mergeCell ref="B4:H4"/>
    <mergeCell ref="B3:G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P4-9</vt:lpstr>
      <vt:lpstr>P4-11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2026-02-28T03:10:47Z</dcterms:created>
  <dcterms:modified xsi:type="dcterms:W3CDTF">2026-02-28T05:28:35Z</dcterms:modified>
</cp:coreProperties>
</file>